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édias Copa do Mundo" sheetId="1" state="visible" r:id="rId3"/>
    <sheet name="Not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<sst xmlns="http://schemas.openxmlformats.org/spreadsheetml/2006/main" count="97" uniqueCount="94">
  <si>
    <t xml:space="preserve">PARÂMETROS DE NORMALIZAÇÃO</t>
  </si>
  <si>
    <t xml:space="preserve">Meta de gols/jogo (editável):</t>
  </si>
  <si>
    <t xml:space="preserve">Σ GF / Σ jogos (média ponderada atual):</t>
  </si>
  <si>
    <t xml:space="preserve">Σ GA / Σ jogos (média ponderada atual):</t>
  </si>
  <si>
    <t xml:space="preserve">Fator k = Meta / (GF+GA):</t>
  </si>
  <si>
    <t xml:space="preserve">Pos.</t>
  </si>
  <si>
    <t xml:space="preserve">Seleção</t>
  </si>
  <si>
    <t xml:space="preserve">Força</t>
  </si>
  <si>
    <t xml:space="preserve">Particip.</t>
  </si>
  <si>
    <t xml:space="preserve">Jogos</t>
  </si>
  <si>
    <t xml:space="preserve">GF</t>
  </si>
  <si>
    <t xml:space="preserve">GA</t>
  </si>
  <si>
    <t xml:space="preserve">GF/jogo</t>
  </si>
  <si>
    <t xml:space="preserve">GA/jogo</t>
  </si>
  <si>
    <t xml:space="preserve">Saldo/jogo</t>
  </si>
  <si>
    <t xml:space="preserve">GF/jogo NORM</t>
  </si>
  <si>
    <t xml:space="preserve">GA/jogo NORM</t>
  </si>
  <si>
    <t xml:space="preserve">Soma NORM</t>
  </si>
  <si>
    <t xml:space="preserve">Inglaterra</t>
  </si>
  <si>
    <t xml:space="preserve">França</t>
  </si>
  <si>
    <t xml:space="preserve">Espanha</t>
  </si>
  <si>
    <t xml:space="preserve">Brasil</t>
  </si>
  <si>
    <t xml:space="preserve">Alemanha</t>
  </si>
  <si>
    <t xml:space="preserve">Argentina</t>
  </si>
  <si>
    <t xml:space="preserve">Portugal</t>
  </si>
  <si>
    <t xml:space="preserve">Holanda</t>
  </si>
  <si>
    <t xml:space="preserve">Bélgica</t>
  </si>
  <si>
    <t xml:space="preserve">Uruguai</t>
  </si>
  <si>
    <t xml:space="preserve">Marrocos</t>
  </si>
  <si>
    <t xml:space="preserve">Senegal</t>
  </si>
  <si>
    <t xml:space="preserve">Croácia</t>
  </si>
  <si>
    <t xml:space="preserve">Colômbia</t>
  </si>
  <si>
    <t xml:space="preserve">Estados Unidos</t>
  </si>
  <si>
    <t xml:space="preserve">Turquia</t>
  </si>
  <si>
    <t xml:space="preserve">Suíça</t>
  </si>
  <si>
    <t xml:space="preserve">Equador</t>
  </si>
  <si>
    <t xml:space="preserve">Japão</t>
  </si>
  <si>
    <t xml:space="preserve">Noruega</t>
  </si>
  <si>
    <t xml:space="preserve">México</t>
  </si>
  <si>
    <t xml:space="preserve">Áustria</t>
  </si>
  <si>
    <t xml:space="preserve">Costa do Marfim</t>
  </si>
  <si>
    <t xml:space="preserve">Argélia</t>
  </si>
  <si>
    <t xml:space="preserve">Coreia do Sul</t>
  </si>
  <si>
    <t xml:space="preserve">Suécia</t>
  </si>
  <si>
    <t xml:space="preserve">Irã</t>
  </si>
  <si>
    <t xml:space="preserve">Canadá</t>
  </si>
  <si>
    <t xml:space="preserve">Egito</t>
  </si>
  <si>
    <t xml:space="preserve">Austrália</t>
  </si>
  <si>
    <t xml:space="preserve">Panamá</t>
  </si>
  <si>
    <t xml:space="preserve">República Tcheca</t>
  </si>
  <si>
    <t xml:space="preserve">Escócia</t>
  </si>
  <si>
    <t xml:space="preserve">Paraguai</t>
  </si>
  <si>
    <t xml:space="preserve">RD do Congo</t>
  </si>
  <si>
    <t xml:space="preserve">Estimativa com base da força</t>
  </si>
  <si>
    <t xml:space="preserve">Tunísia</t>
  </si>
  <si>
    <t xml:space="preserve">Uzbequistão</t>
  </si>
  <si>
    <t xml:space="preserve">Catar</t>
  </si>
  <si>
    <t xml:space="preserve">Iraque</t>
  </si>
  <si>
    <t xml:space="preserve">África do Sul</t>
  </si>
  <si>
    <t xml:space="preserve">Bósnia</t>
  </si>
  <si>
    <t xml:space="preserve">Arábia Saudita</t>
  </si>
  <si>
    <t xml:space="preserve">Jordânia</t>
  </si>
  <si>
    <t xml:space="preserve">Gana</t>
  </si>
  <si>
    <t xml:space="preserve">Cabo Verde</t>
  </si>
  <si>
    <t xml:space="preserve">Haiti</t>
  </si>
  <si>
    <t xml:space="preserve">Curaçau</t>
  </si>
  <si>
    <t xml:space="preserve">Nova Zelândia</t>
  </si>
  <si>
    <t xml:space="preserve">MÉDIA PONDERADA (verificação)</t>
  </si>
  <si>
    <t xml:space="preserve">Media →</t>
  </si>
  <si>
    <t xml:space="preserve">Notas, método e fonte</t>
  </si>
  <si>
    <t xml:space="preserve">Fonte:</t>
  </si>
  <si>
    <t xml:space="preserve">Wikipedia - FIFA World Cup records and statistics (1930 a 2022)</t>
  </si>
  <si>
    <t xml:space="preserve">MÉTODO DE NORMALIZAÇÃO</t>
  </si>
  <si>
    <t xml:space="preserve">Passo 1:</t>
  </si>
  <si>
    <t xml:space="preserve">Calcular média ponderada Σ GF / Σ jogos e Σ GA / Σ jogos (44 seleções que já jogaram)</t>
  </si>
  <si>
    <t xml:space="preserve">Passo 2:</t>
  </si>
  <si>
    <t xml:space="preserve">Somar as duas médias (gols totais por jogo, na história real)</t>
  </si>
  <si>
    <t xml:space="preserve">Passo 3:</t>
  </si>
  <si>
    <t xml:space="preserve">Fator k = Meta / Soma_atual</t>
  </si>
  <si>
    <t xml:space="preserve">Passo 4:</t>
  </si>
  <si>
    <t xml:space="preserve">Multiplicar GF/jogo e GA/jogo de cada seleção por k</t>
  </si>
  <si>
    <t xml:space="preserve">Por que multiplicação simples:</t>
  </si>
  <si>
    <t xml:space="preserve">Preserva proporção entre ataque e defesa de cada seleção (escala linear)</t>
  </si>
  <si>
    <t xml:space="preserve">Meta editável:</t>
  </si>
  <si>
    <t xml:space="preserve">Mude a célula E2 da aba principal — todas as colunas NORM recalculam</t>
  </si>
  <si>
    <t xml:space="preserve">LIMITAÇÕES</t>
  </si>
  <si>
    <t xml:space="preserve">1.</t>
  </si>
  <si>
    <t xml:space="preserve">Seleções sem Copa (Uzbequistão, Jordânia, Cabo Verde, Curaçau) ficam sem média - use Elo/ranking FIFA como proxy</t>
  </si>
  <si>
    <t xml:space="preserve">2.</t>
  </si>
  <si>
    <t xml:space="preserve">Amostras pequenas (Catar=3 jogos, Iraque=3, Haiti=3) têm alta variância - resultados extremos não devem virar premissa</t>
  </si>
  <si>
    <t xml:space="preserve">3.</t>
  </si>
  <si>
    <t xml:space="preserve">Históricos antigos (Brasil 1958, Hungria 1954) inflam médias com regras e contexto diferentes do futebol atual</t>
  </si>
  <si>
    <t xml:space="preserve">4.</t>
  </si>
  <si>
    <t xml:space="preserve">A normalização linear assume que TODAS as seleções têm o mesmo viés de subestimação/superestimação - na prática, seleções fortes tendem a manter perfil em qualquer era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</si>
</sst>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6F9D4"/>
      </patternFill>
    </fill>
    <fill>
      <patternFill patternType="solid">
        <fgColor rgb="FFE8F4EA"/>
        <bgColor rgb="FFF1F8E9"/>
      </patternFill>
    </fill>
    <fill>
      <patternFill patternType="solid">
        <fgColor rgb="FF2E7D32"/>
        <bgColor rgb="FF008000"/>
      </patternFill>
    </fill>
    <fill>
      <patternFill patternType="solid">
        <fgColor rgb="FFF1F8E9"/>
        <bgColor rgb="FFF2F2F2"/>
      </patternFill>
    </fill>
    <fill>
      <patternFill patternType="solid">
        <fgColor rgb="FFF2F2F2"/>
        <bgColor rgb="FFF1F8E9"/>
      </patternFill>
    </fill>
    <fill>
      <patternFill patternType="solid">
        <fgColor rgb="FFF6F9D4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6F9D4"/>
      <rgbColor rgb="FFE8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F2F2F2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40" activePane="bottomRight" state="frozen"/>
      <selection pane="topLeft" activeCell="A1" activeCellId="0" sqref="A1"/>
      <selection pane="topRight" activeCell="C1" activeCellId="0" sqref="C1"/>
      <selection pane="bottomLeft" activeCell="A40" activeCellId="0" sqref="A40"/>
      <selection pane="bottomRight" activeCell="R56" activeCellId="0" sqref="R5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15"/>
    <col collapsed="false" customWidth="true" hidden="false" outlineLevel="0" max="2" min="2" style="1" width="20"/>
    <col collapsed="false" customWidth="true" hidden="false" outlineLevel="0" max="4" min="3" style="1" width="10"/>
    <col collapsed="false" customWidth="true" hidden="false" outlineLevel="0" max="7" min="5" style="1" width="8"/>
    <col collapsed="false" customWidth="true" hidden="false" outlineLevel="0" max="10" min="8" style="1" width="11"/>
    <col collapsed="false" customWidth="true" hidden="false" outlineLevel="0" max="12" min="11" style="1" width="13"/>
    <col collapsed="false" customWidth="true" hidden="false" outlineLevel="0" max="13" min="13" style="1" width="12"/>
    <col collapsed="false" customWidth="true" hidden="false" outlineLevel="0" max="14" min="14" style="0" width="10.15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E2" s="4" t="n">
        <v>2.8</v>
      </c>
    </row>
    <row r="3" customFormat="false" ht="15" hidden="false" customHeight="false" outlineLevel="0" collapsed="false">
      <c r="A3" s="5" t="s">
        <v>2</v>
      </c>
      <c r="E3" s="6" t="n">
        <f aca="false">SUM(F7:F54)/SUM(E7:E54)</f>
        <v>1.47368421052632</v>
      </c>
    </row>
    <row r="4" customFormat="false" ht="15" hidden="false" customHeight="false" outlineLevel="0" collapsed="false">
      <c r="A4" s="5" t="s">
        <v>3</v>
      </c>
      <c r="E4" s="6" t="n">
        <f aca="false">SUM(G7:G54)/SUM(E7:E54)</f>
        <v>1.35745614035088</v>
      </c>
    </row>
    <row r="5" customFormat="false" ht="15" hidden="false" customHeight="false" outlineLevel="0" collapsed="false">
      <c r="A5" s="3" t="s">
        <v>4</v>
      </c>
      <c r="E5" s="7" t="n">
        <f aca="false">E2/(E3+E4)</f>
        <v>0.989000774593339</v>
      </c>
    </row>
    <row r="6" customFormat="false" ht="30" hidden="false" customHeight="true" outlineLevel="0" collapsed="false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9" t="s">
        <v>15</v>
      </c>
      <c r="L6" s="9" t="s">
        <v>16</v>
      </c>
      <c r="M6" s="9" t="s">
        <v>17</v>
      </c>
    </row>
    <row r="7" customFormat="false" ht="15" hidden="false" customHeight="false" outlineLevel="0" collapsed="false">
      <c r="A7" s="10" t="n">
        <v>1</v>
      </c>
      <c r="B7" s="11" t="s">
        <v>18</v>
      </c>
      <c r="C7" s="12" t="n">
        <v>82.7457</v>
      </c>
      <c r="D7" s="10" t="n">
        <v>16</v>
      </c>
      <c r="E7" s="10" t="n">
        <v>74</v>
      </c>
      <c r="F7" s="10" t="n">
        <v>104</v>
      </c>
      <c r="G7" s="10" t="n">
        <v>68</v>
      </c>
      <c r="H7" s="13" t="n">
        <f aca="false">IF(E7=0,"-",F7/E7)</f>
        <v>1.40540540540541</v>
      </c>
      <c r="I7" s="13" t="n">
        <f aca="false">IF(E7=0,"-",G7/E7)</f>
        <v>0.918918918918919</v>
      </c>
      <c r="J7" s="13" t="n">
        <f aca="false">IF(E7=0,"-",(F7-G7)/E7)</f>
        <v>0.486486486486487</v>
      </c>
      <c r="K7" s="14" t="n">
        <f aca="false">IF(E7=0,"-",F7/E7*$E$5)</f>
        <v>1.38994703456361</v>
      </c>
      <c r="L7" s="14" t="n">
        <f aca="false">IF(E7=0,"-",G7/E7*$E$5)</f>
        <v>0.908811522599284</v>
      </c>
      <c r="M7" s="14" t="n">
        <f aca="false">IF(E7=0,"-",(F7+G7)/E7*$E$5)</f>
        <v>2.2987585571629</v>
      </c>
    </row>
    <row r="8" customFormat="false" ht="15" hidden="false" customHeight="false" outlineLevel="0" collapsed="false">
      <c r="A8" s="10" t="n">
        <v>2</v>
      </c>
      <c r="B8" s="11" t="s">
        <v>19</v>
      </c>
      <c r="C8" s="12" t="n">
        <v>81.7011</v>
      </c>
      <c r="D8" s="10" t="n">
        <v>16</v>
      </c>
      <c r="E8" s="10" t="n">
        <v>73</v>
      </c>
      <c r="F8" s="10" t="n">
        <v>136</v>
      </c>
      <c r="G8" s="10" t="n">
        <v>85</v>
      </c>
      <c r="H8" s="13" t="n">
        <f aca="false">IF(E8=0,"-",F8/E8)</f>
        <v>1.86301369863014</v>
      </c>
      <c r="I8" s="13" t="n">
        <f aca="false">IF(E8=0,"-",G8/E8)</f>
        <v>1.16438356164384</v>
      </c>
      <c r="J8" s="13" t="n">
        <f aca="false">IF(E8=0,"-",(F8-G8)/E8)</f>
        <v>0.698630136986301</v>
      </c>
      <c r="K8" s="14" t="n">
        <f aca="false">IF(E8=0,"-",F8/E8*$E$5)</f>
        <v>1.84252199102321</v>
      </c>
      <c r="L8" s="14" t="n">
        <f aca="false">IF(E8=0,"-",G8/E8*$E$5)</f>
        <v>1.1515762443895</v>
      </c>
      <c r="M8" s="14" t="n">
        <f aca="false">IF(E8=0,"-",(F8+G8)/E8*$E$5)</f>
        <v>2.99409823541271</v>
      </c>
    </row>
    <row r="9" customFormat="false" ht="15" hidden="false" customHeight="false" outlineLevel="0" collapsed="false">
      <c r="A9" s="10" t="n">
        <v>3</v>
      </c>
      <c r="B9" s="11" t="s">
        <v>20</v>
      </c>
      <c r="C9" s="12" t="n">
        <v>80.6668</v>
      </c>
      <c r="D9" s="10" t="n">
        <v>16</v>
      </c>
      <c r="E9" s="10" t="n">
        <v>67</v>
      </c>
      <c r="F9" s="10" t="n">
        <v>108</v>
      </c>
      <c r="G9" s="10" t="n">
        <v>75</v>
      </c>
      <c r="H9" s="13" t="n">
        <f aca="false">IF(E9=0,"-",F9/E9)</f>
        <v>1.61194029850746</v>
      </c>
      <c r="I9" s="13" t="n">
        <f aca="false">IF(E9=0,"-",G9/E9)</f>
        <v>1.11940298507463</v>
      </c>
      <c r="J9" s="13" t="n">
        <f aca="false">IF(E9=0,"-",(F9-G9)/E9)</f>
        <v>0.492537313432836</v>
      </c>
      <c r="K9" s="14" t="n">
        <f aca="false">IF(E9=0,"-",F9/E9*$E$5)</f>
        <v>1.5942102038221</v>
      </c>
      <c r="L9" s="14" t="n">
        <f aca="false">IF(E9=0,"-",G9/E9*$E$5)</f>
        <v>1.1070904193209</v>
      </c>
      <c r="M9" s="14" t="n">
        <f aca="false">IF(E9=0,"-",(F9+G9)/E9*$E$5)</f>
        <v>2.701300623143</v>
      </c>
    </row>
    <row r="10" customFormat="false" ht="15" hidden="false" customHeight="false" outlineLevel="0" collapsed="false">
      <c r="A10" s="10" t="n">
        <v>4</v>
      </c>
      <c r="B10" s="11" t="s">
        <v>21</v>
      </c>
      <c r="C10" s="12" t="n">
        <v>76.8679</v>
      </c>
      <c r="D10" s="10" t="n">
        <v>22</v>
      </c>
      <c r="E10" s="10" t="n">
        <v>114</v>
      </c>
      <c r="F10" s="10" t="n">
        <v>237</v>
      </c>
      <c r="G10" s="10" t="n">
        <v>108</v>
      </c>
      <c r="H10" s="13" t="n">
        <f aca="false">IF(E10=0,"-",F10/E10)</f>
        <v>2.07894736842105</v>
      </c>
      <c r="I10" s="13" t="n">
        <f aca="false">IF(E10=0,"-",G10/E10)</f>
        <v>0.947368421052632</v>
      </c>
      <c r="J10" s="13" t="n">
        <f aca="false">IF(E10=0,"-",(F10-G10)/E10)</f>
        <v>1.13157894736842</v>
      </c>
      <c r="K10" s="14" t="n">
        <f aca="false">IF(E10=0,"-",F10/E10*$E$5)</f>
        <v>2.0560805577072</v>
      </c>
      <c r="L10" s="14" t="n">
        <f aca="false">IF(E10=0,"-",G10/E10*$E$5)</f>
        <v>0.936948102246321</v>
      </c>
      <c r="M10" s="14" t="n">
        <f aca="false">IF(E10=0,"-",(F10+G10)/E10*$E$5)</f>
        <v>2.99302865995352</v>
      </c>
    </row>
    <row r="11" customFormat="false" ht="15" hidden="false" customHeight="false" outlineLevel="0" collapsed="false">
      <c r="A11" s="10" t="n">
        <v>5</v>
      </c>
      <c r="B11" s="11" t="s">
        <v>22</v>
      </c>
      <c r="C11" s="12" t="n">
        <v>76.0353</v>
      </c>
      <c r="D11" s="10" t="n">
        <v>20</v>
      </c>
      <c r="E11" s="10" t="n">
        <v>112</v>
      </c>
      <c r="F11" s="10" t="n">
        <v>232</v>
      </c>
      <c r="G11" s="10" t="n">
        <v>130</v>
      </c>
      <c r="H11" s="13" t="n">
        <f aca="false">IF(E11=0,"-",F11/E11)</f>
        <v>2.07142857142857</v>
      </c>
      <c r="I11" s="13" t="n">
        <f aca="false">IF(E11=0,"-",G11/E11)</f>
        <v>1.16071428571429</v>
      </c>
      <c r="J11" s="13" t="n">
        <f aca="false">IF(E11=0,"-",(F11-G11)/E11)</f>
        <v>0.910714285714286</v>
      </c>
      <c r="K11" s="14" t="n">
        <f aca="false">IF(E11=0,"-",F11/E11*$E$5)</f>
        <v>2.04864446165763</v>
      </c>
      <c r="L11" s="14" t="n">
        <f aca="false">IF(E11=0,"-",G11/E11*$E$5)</f>
        <v>1.14794732765298</v>
      </c>
      <c r="M11" s="14" t="n">
        <f aca="false">IF(E11=0,"-",(F11+G11)/E11*$E$5)</f>
        <v>3.19659178931061</v>
      </c>
    </row>
    <row r="12" customFormat="false" ht="15" hidden="false" customHeight="false" outlineLevel="0" collapsed="false">
      <c r="A12" s="10" t="n">
        <v>6</v>
      </c>
      <c r="B12" s="11" t="s">
        <v>23</v>
      </c>
      <c r="C12" s="12" t="n">
        <v>70.8988</v>
      </c>
      <c r="D12" s="10" t="n">
        <v>18</v>
      </c>
      <c r="E12" s="10" t="n">
        <v>88</v>
      </c>
      <c r="F12" s="10" t="n">
        <v>152</v>
      </c>
      <c r="G12" s="10" t="n">
        <v>101</v>
      </c>
      <c r="H12" s="13" t="n">
        <f aca="false">IF(E12=0,"-",F12/E12)</f>
        <v>1.72727272727273</v>
      </c>
      <c r="I12" s="13" t="n">
        <f aca="false">IF(E12=0,"-",G12/E12)</f>
        <v>1.14772727272727</v>
      </c>
      <c r="J12" s="13" t="n">
        <f aca="false">IF(E12=0,"-",(F12-G12)/E12)</f>
        <v>0.579545454545455</v>
      </c>
      <c r="K12" s="14" t="n">
        <f aca="false">IF(E12=0,"-",F12/E12*$E$5)</f>
        <v>1.70827406520668</v>
      </c>
      <c r="L12" s="14" t="n">
        <f aca="false">IF(E12=0,"-",G12/E12*$E$5)</f>
        <v>1.13510316174917</v>
      </c>
      <c r="M12" s="14" t="n">
        <f aca="false">IF(E12=0,"-",(F12+G12)/E12*$E$5)</f>
        <v>2.84337722695585</v>
      </c>
    </row>
    <row r="13" customFormat="false" ht="15" hidden="false" customHeight="false" outlineLevel="0" collapsed="false">
      <c r="A13" s="10" t="n">
        <v>7</v>
      </c>
      <c r="B13" s="11" t="s">
        <v>24</v>
      </c>
      <c r="C13" s="12" t="n">
        <v>59.6625</v>
      </c>
      <c r="D13" s="10" t="n">
        <v>8</v>
      </c>
      <c r="E13" s="10" t="n">
        <v>35</v>
      </c>
      <c r="F13" s="10" t="n">
        <v>61</v>
      </c>
      <c r="G13" s="10" t="n">
        <v>41</v>
      </c>
      <c r="H13" s="13" t="n">
        <f aca="false">IF(E13=0,"-",F13/E13)</f>
        <v>1.74285714285714</v>
      </c>
      <c r="I13" s="13" t="n">
        <f aca="false">IF(E13=0,"-",G13/E13)</f>
        <v>1.17142857142857</v>
      </c>
      <c r="J13" s="13" t="n">
        <f aca="false">IF(E13=0,"-",(F13-G13)/E13)</f>
        <v>0.571428571428571</v>
      </c>
      <c r="K13" s="14" t="n">
        <f aca="false">IF(E13=0,"-",F13/E13*$E$5)</f>
        <v>1.72368706429125</v>
      </c>
      <c r="L13" s="14" t="n">
        <f aca="false">IF(E13=0,"-",G13/E13*$E$5)</f>
        <v>1.15854376452363</v>
      </c>
      <c r="M13" s="14" t="n">
        <f aca="false">IF(E13=0,"-",(F13+G13)/E13*$E$5)</f>
        <v>2.88223082881487</v>
      </c>
    </row>
    <row r="14" customFormat="false" ht="15" hidden="false" customHeight="false" outlineLevel="0" collapsed="false">
      <c r="A14" s="10" t="n">
        <v>8</v>
      </c>
      <c r="B14" s="11" t="s">
        <v>25</v>
      </c>
      <c r="C14" s="12" t="n">
        <v>56.2879</v>
      </c>
      <c r="D14" s="10" t="n">
        <v>11</v>
      </c>
      <c r="E14" s="10" t="n">
        <v>55</v>
      </c>
      <c r="F14" s="10" t="n">
        <v>96</v>
      </c>
      <c r="G14" s="10" t="n">
        <v>52</v>
      </c>
      <c r="H14" s="13" t="n">
        <f aca="false">IF(E14=0,"-",F14/E14)</f>
        <v>1.74545454545455</v>
      </c>
      <c r="I14" s="13" t="n">
        <f aca="false">IF(E14=0,"-",G14/E14)</f>
        <v>0.945454545454545</v>
      </c>
      <c r="J14" s="13" t="n">
        <f aca="false">IF(E14=0,"-",(F14-G14)/E14)</f>
        <v>0.8</v>
      </c>
      <c r="K14" s="14" t="n">
        <f aca="false">IF(E14=0,"-",F14/E14*$E$5)</f>
        <v>1.72625589747201</v>
      </c>
      <c r="L14" s="14" t="n">
        <f aca="false">IF(E14=0,"-",G14/E14*$E$5)</f>
        <v>0.935055277797338</v>
      </c>
      <c r="M14" s="14" t="n">
        <f aca="false">IF(E14=0,"-",(F14+G14)/E14*$E$5)</f>
        <v>2.66131117526935</v>
      </c>
    </row>
    <row r="15" customFormat="false" ht="15" hidden="false" customHeight="false" outlineLevel="0" collapsed="false">
      <c r="A15" s="10" t="n">
        <v>9</v>
      </c>
      <c r="B15" s="11" t="s">
        <v>26</v>
      </c>
      <c r="C15" s="12" t="n">
        <v>49.6224</v>
      </c>
      <c r="D15" s="10" t="n">
        <v>14</v>
      </c>
      <c r="E15" s="10" t="n">
        <v>51</v>
      </c>
      <c r="F15" s="10" t="n">
        <v>69</v>
      </c>
      <c r="G15" s="10" t="n">
        <v>74</v>
      </c>
      <c r="H15" s="13" t="n">
        <f aca="false">IF(E15=0,"-",F15/E15)</f>
        <v>1.35294117647059</v>
      </c>
      <c r="I15" s="13" t="n">
        <f aca="false">IF(E15=0,"-",G15/E15)</f>
        <v>1.45098039215686</v>
      </c>
      <c r="J15" s="13" t="n">
        <f aca="false">IF(E15=0,"-",(F15-G15)/E15)</f>
        <v>-0.0980392156862745</v>
      </c>
      <c r="K15" s="14" t="n">
        <f aca="false">IF(E15=0,"-",F15/E15*$E$5)</f>
        <v>1.33805987150863</v>
      </c>
      <c r="L15" s="14" t="n">
        <f aca="false">IF(E15=0,"-",G15/E15*$E$5)</f>
        <v>1.43502073176288</v>
      </c>
      <c r="M15" s="14" t="n">
        <f aca="false">IF(E15=0,"-",(F15+G15)/E15*$E$5)</f>
        <v>2.77308060327152</v>
      </c>
    </row>
    <row r="16" customFormat="false" ht="15" hidden="false" customHeight="false" outlineLevel="0" collapsed="false">
      <c r="A16" s="10" t="n">
        <v>10</v>
      </c>
      <c r="B16" s="11" t="s">
        <v>27</v>
      </c>
      <c r="C16" s="12" t="n">
        <v>49.5308</v>
      </c>
      <c r="D16" s="10" t="n">
        <v>14</v>
      </c>
      <c r="E16" s="10" t="n">
        <v>59</v>
      </c>
      <c r="F16" s="10" t="n">
        <v>89</v>
      </c>
      <c r="G16" s="10" t="n">
        <v>76</v>
      </c>
      <c r="H16" s="13" t="n">
        <f aca="false">IF(E16=0,"-",F16/E16)</f>
        <v>1.50847457627119</v>
      </c>
      <c r="I16" s="13" t="n">
        <f aca="false">IF(E16=0,"-",G16/E16)</f>
        <v>1.28813559322034</v>
      </c>
      <c r="J16" s="13" t="n">
        <f aca="false">IF(E16=0,"-",(F16-G16)/E16)</f>
        <v>0.220338983050847</v>
      </c>
      <c r="K16" s="14" t="n">
        <f aca="false">IF(E16=0,"-",F16/E16*$E$5)</f>
        <v>1.49188252438656</v>
      </c>
      <c r="L16" s="14" t="n">
        <f aca="false">IF(E16=0,"-",G16/E16*$E$5)</f>
        <v>1.27396709947617</v>
      </c>
      <c r="M16" s="14" t="n">
        <f aca="false">IF(E16=0,"-",(F16+G16)/E16*$E$5)</f>
        <v>2.76584962386273</v>
      </c>
    </row>
    <row r="17" customFormat="false" ht="15" hidden="false" customHeight="false" outlineLevel="0" collapsed="false">
      <c r="A17" s="10" t="n">
        <v>11</v>
      </c>
      <c r="B17" s="11" t="s">
        <v>28</v>
      </c>
      <c r="C17" s="12" t="n">
        <v>48.1632</v>
      </c>
      <c r="D17" s="10" t="n">
        <v>6</v>
      </c>
      <c r="E17" s="10" t="n">
        <v>23</v>
      </c>
      <c r="F17" s="10" t="n">
        <v>20</v>
      </c>
      <c r="G17" s="10" t="n">
        <v>27</v>
      </c>
      <c r="H17" s="13" t="n">
        <f aca="false">IF(E17=0,"-",F17/E17)</f>
        <v>0.869565217391304</v>
      </c>
      <c r="I17" s="13" t="n">
        <f aca="false">IF(E17=0,"-",G17/E17)</f>
        <v>1.17391304347826</v>
      </c>
      <c r="J17" s="13" t="n">
        <f aca="false">IF(E17=0,"-",(F17-G17)/E17)</f>
        <v>-0.304347826086957</v>
      </c>
      <c r="K17" s="14" t="n">
        <f aca="false">IF(E17=0,"-",F17/E17*$E$5)</f>
        <v>0.860000673559425</v>
      </c>
      <c r="L17" s="14" t="n">
        <f aca="false">IF(E17=0,"-",G17/E17*$E$5)</f>
        <v>1.16100090930522</v>
      </c>
      <c r="M17" s="14" t="n">
        <f aca="false">IF(E17=0,"-",(F17+G17)/E17*$E$5)</f>
        <v>2.02100158286465</v>
      </c>
    </row>
    <row r="18" customFormat="false" ht="15" hidden="false" customHeight="false" outlineLevel="0" collapsed="false">
      <c r="A18" s="10" t="n">
        <v>12</v>
      </c>
      <c r="B18" s="11" t="s">
        <v>29</v>
      </c>
      <c r="C18" s="12" t="n">
        <v>45.779</v>
      </c>
      <c r="D18" s="10" t="n">
        <v>3</v>
      </c>
      <c r="E18" s="10" t="n">
        <v>12</v>
      </c>
      <c r="F18" s="10" t="n">
        <v>16</v>
      </c>
      <c r="G18" s="10" t="n">
        <v>17</v>
      </c>
      <c r="H18" s="13" t="n">
        <f aca="false">IF(E18=0,"-",F18/E18)</f>
        <v>1.33333333333333</v>
      </c>
      <c r="I18" s="13" t="n">
        <f aca="false">IF(E18=0,"-",G18/E18)</f>
        <v>1.41666666666667</v>
      </c>
      <c r="J18" s="13" t="n">
        <f aca="false">IF(E18=0,"-",(F18-G18)/E18)</f>
        <v>-0.0833333333333333</v>
      </c>
      <c r="K18" s="14" t="n">
        <f aca="false">IF(E18=0,"-",F18/E18*$E$5)</f>
        <v>1.31866769945778</v>
      </c>
      <c r="L18" s="14" t="n">
        <f aca="false">IF(E18=0,"-",G18/E18*$E$5)</f>
        <v>1.4010844306739</v>
      </c>
      <c r="M18" s="14" t="n">
        <f aca="false">IF(E18=0,"-",(F18+G18)/E18*$E$5)</f>
        <v>2.71975213013168</v>
      </c>
    </row>
    <row r="19" customFormat="false" ht="15" hidden="false" customHeight="false" outlineLevel="0" collapsed="false">
      <c r="A19" s="10" t="n">
        <v>13</v>
      </c>
      <c r="B19" s="11" t="s">
        <v>30</v>
      </c>
      <c r="C19" s="12" t="n">
        <v>42.4853</v>
      </c>
      <c r="D19" s="10" t="n">
        <v>6</v>
      </c>
      <c r="E19" s="10" t="n">
        <v>30</v>
      </c>
      <c r="F19" s="10" t="n">
        <v>43</v>
      </c>
      <c r="G19" s="10" t="n">
        <v>33</v>
      </c>
      <c r="H19" s="13" t="n">
        <f aca="false">IF(E19=0,"-",F19/E19)</f>
        <v>1.43333333333333</v>
      </c>
      <c r="I19" s="13" t="n">
        <f aca="false">IF(E19=0,"-",G19/E19)</f>
        <v>1.1</v>
      </c>
      <c r="J19" s="13" t="n">
        <f aca="false">IF(E19=0,"-",(F19-G19)/E19)</f>
        <v>0.333333333333333</v>
      </c>
      <c r="K19" s="14" t="n">
        <f aca="false">IF(E19=0,"-",F19/E19*$E$5)</f>
        <v>1.41756777691712</v>
      </c>
      <c r="L19" s="14" t="n">
        <f aca="false">IF(E19=0,"-",G19/E19*$E$5)</f>
        <v>1.08790085205267</v>
      </c>
      <c r="M19" s="14" t="n">
        <f aca="false">IF(E19=0,"-",(F19+G19)/E19*$E$5)</f>
        <v>2.50546862896979</v>
      </c>
    </row>
    <row r="20" customFormat="false" ht="15" hidden="false" customHeight="false" outlineLevel="0" collapsed="false">
      <c r="A20" s="10" t="n">
        <v>14</v>
      </c>
      <c r="B20" s="11" t="s">
        <v>31</v>
      </c>
      <c r="C20" s="12" t="n">
        <v>41.9671</v>
      </c>
      <c r="D20" s="10" t="n">
        <v>6</v>
      </c>
      <c r="E20" s="10" t="n">
        <v>22</v>
      </c>
      <c r="F20" s="10" t="n">
        <v>32</v>
      </c>
      <c r="G20" s="10" t="n">
        <v>30</v>
      </c>
      <c r="H20" s="13" t="n">
        <f aca="false">IF(E20=0,"-",F20/E20)</f>
        <v>1.45454545454545</v>
      </c>
      <c r="I20" s="13" t="n">
        <f aca="false">IF(E20=0,"-",G20/E20)</f>
        <v>1.36363636363636</v>
      </c>
      <c r="J20" s="13" t="n">
        <f aca="false">IF(E20=0,"-",(F20-G20)/E20)</f>
        <v>0.0909090909090909</v>
      </c>
      <c r="K20" s="14" t="n">
        <f aca="false">IF(E20=0,"-",F20/E20*$E$5)</f>
        <v>1.43854658122667</v>
      </c>
      <c r="L20" s="14" t="n">
        <f aca="false">IF(E20=0,"-",G20/E20*$E$5)</f>
        <v>1.34863741990001</v>
      </c>
      <c r="M20" s="14" t="n">
        <f aca="false">IF(E20=0,"-",(F20+G20)/E20*$E$5)</f>
        <v>2.78718400112668</v>
      </c>
    </row>
    <row r="21" customFormat="false" ht="15" hidden="false" customHeight="false" outlineLevel="0" collapsed="false">
      <c r="A21" s="10" t="n">
        <v>15</v>
      </c>
      <c r="B21" s="11" t="s">
        <v>32</v>
      </c>
      <c r="C21" s="12" t="n">
        <v>41.9403</v>
      </c>
      <c r="D21" s="10" t="n">
        <v>11</v>
      </c>
      <c r="E21" s="10" t="n">
        <v>37</v>
      </c>
      <c r="F21" s="10" t="n">
        <v>40</v>
      </c>
      <c r="G21" s="10" t="n">
        <v>66</v>
      </c>
      <c r="H21" s="13" t="n">
        <f aca="false">IF(E21=0,"-",F21/E21)</f>
        <v>1.08108108108108</v>
      </c>
      <c r="I21" s="13" t="n">
        <f aca="false">IF(E21=0,"-",G21/E21)</f>
        <v>1.78378378378378</v>
      </c>
      <c r="J21" s="13" t="n">
        <f aca="false">IF(E21=0,"-",(F21-G21)/E21)</f>
        <v>-0.702702702702703</v>
      </c>
      <c r="K21" s="14" t="n">
        <f aca="false">IF(E21=0,"-",F21/E21*$E$5)</f>
        <v>1.06919002658739</v>
      </c>
      <c r="L21" s="14" t="n">
        <f aca="false">IF(E21=0,"-",G21/E21*$E$5)</f>
        <v>1.7641635438692</v>
      </c>
      <c r="M21" s="14" t="n">
        <f aca="false">IF(E21=0,"-",(F21+G21)/E21*$E$5)</f>
        <v>2.83335357045659</v>
      </c>
    </row>
    <row r="22" customFormat="false" ht="15" hidden="false" customHeight="false" outlineLevel="0" collapsed="false">
      <c r="A22" s="10" t="n">
        <v>16</v>
      </c>
      <c r="B22" s="11" t="s">
        <v>33</v>
      </c>
      <c r="C22" s="12" t="n">
        <v>41.1731</v>
      </c>
      <c r="D22" s="10" t="n">
        <v>2</v>
      </c>
      <c r="E22" s="10" t="n">
        <v>10</v>
      </c>
      <c r="F22" s="10" t="n">
        <v>20</v>
      </c>
      <c r="G22" s="10" t="n">
        <v>17</v>
      </c>
      <c r="H22" s="13" t="n">
        <f aca="false">IF(E22=0,"-",F22/E22)</f>
        <v>2</v>
      </c>
      <c r="I22" s="13" t="n">
        <f aca="false">IF(E22=0,"-",G22/E22)</f>
        <v>1.7</v>
      </c>
      <c r="J22" s="13" t="n">
        <f aca="false">IF(E22=0,"-",(F22-G22)/E22)</f>
        <v>0.3</v>
      </c>
      <c r="K22" s="14" t="n">
        <f aca="false">IF(E22=0,"-",F22/E22*$E$5)</f>
        <v>1.97800154918668</v>
      </c>
      <c r="L22" s="14" t="n">
        <f aca="false">IF(E22=0,"-",G22/E22*$E$5)</f>
        <v>1.68130131680868</v>
      </c>
      <c r="M22" s="14" t="n">
        <f aca="false">IF(E22=0,"-",(F22+G22)/E22*$E$5)</f>
        <v>3.65930286599535</v>
      </c>
    </row>
    <row r="23" customFormat="false" ht="15" hidden="false" customHeight="false" outlineLevel="0" collapsed="false">
      <c r="A23" s="10" t="n">
        <v>17</v>
      </c>
      <c r="B23" s="11" t="s">
        <v>34</v>
      </c>
      <c r="C23" s="12" t="n">
        <v>39.6718</v>
      </c>
      <c r="D23" s="10" t="n">
        <v>12</v>
      </c>
      <c r="E23" s="10" t="n">
        <v>41</v>
      </c>
      <c r="F23" s="10" t="n">
        <v>55</v>
      </c>
      <c r="G23" s="10" t="n">
        <v>73</v>
      </c>
      <c r="H23" s="13" t="n">
        <f aca="false">IF(E23=0,"-",F23/E23)</f>
        <v>1.34146341463415</v>
      </c>
      <c r="I23" s="13" t="n">
        <f aca="false">IF(E23=0,"-",G23/E23)</f>
        <v>1.78048780487805</v>
      </c>
      <c r="J23" s="13" t="n">
        <f aca="false">IF(E23=0,"-",(F23-G23)/E23)</f>
        <v>-0.439024390243902</v>
      </c>
      <c r="K23" s="14" t="n">
        <f aca="false">IF(E23=0,"-",F23/E23*$E$5)</f>
        <v>1.3267083561618</v>
      </c>
      <c r="L23" s="14" t="n">
        <f aca="false">IF(E23=0,"-",G23/E23*$E$5)</f>
        <v>1.76090381817838</v>
      </c>
      <c r="M23" s="14" t="n">
        <f aca="false">IF(E23=0,"-",(F23+G23)/E23*$E$5)</f>
        <v>3.08761217434018</v>
      </c>
    </row>
    <row r="24" customFormat="false" ht="15" hidden="false" customHeight="false" outlineLevel="0" collapsed="false">
      <c r="A24" s="10" t="n">
        <v>18</v>
      </c>
      <c r="B24" s="11" t="s">
        <v>35</v>
      </c>
      <c r="C24" s="12" t="n">
        <v>38.8879</v>
      </c>
      <c r="D24" s="10" t="n">
        <v>4</v>
      </c>
      <c r="E24" s="10" t="n">
        <v>13</v>
      </c>
      <c r="F24" s="10" t="n">
        <v>14</v>
      </c>
      <c r="G24" s="10" t="n">
        <v>14</v>
      </c>
      <c r="H24" s="13" t="n">
        <f aca="false">IF(E24=0,"-",F24/E24)</f>
        <v>1.07692307692308</v>
      </c>
      <c r="I24" s="13" t="n">
        <f aca="false">IF(E24=0,"-",G24/E24)</f>
        <v>1.07692307692308</v>
      </c>
      <c r="J24" s="13" t="n">
        <f aca="false">IF(E24=0,"-",(F24-G24)/E24)</f>
        <v>0</v>
      </c>
      <c r="K24" s="14" t="n">
        <f aca="false">IF(E24=0,"-",F24/E24*$E$5)</f>
        <v>1.06507775725436</v>
      </c>
      <c r="L24" s="14" t="n">
        <f aca="false">IF(E24=0,"-",G24/E24*$E$5)</f>
        <v>1.06507775725436</v>
      </c>
      <c r="M24" s="14" t="n">
        <f aca="false">IF(E24=0,"-",(F24+G24)/E24*$E$5)</f>
        <v>2.13015551450873</v>
      </c>
    </row>
    <row r="25" customFormat="false" ht="15" hidden="false" customHeight="false" outlineLevel="0" collapsed="false">
      <c r="A25" s="10" t="n">
        <v>19</v>
      </c>
      <c r="B25" s="11" t="s">
        <v>36</v>
      </c>
      <c r="C25" s="12" t="n">
        <v>38.7138</v>
      </c>
      <c r="D25" s="10" t="n">
        <v>7</v>
      </c>
      <c r="E25" s="10" t="n">
        <v>25</v>
      </c>
      <c r="F25" s="10" t="n">
        <v>25</v>
      </c>
      <c r="G25" s="10" t="n">
        <v>33</v>
      </c>
      <c r="H25" s="13" t="n">
        <f aca="false">IF(E25=0,"-",F25/E25)</f>
        <v>1</v>
      </c>
      <c r="I25" s="13" t="n">
        <f aca="false">IF(E25=0,"-",G25/E25)</f>
        <v>1.32</v>
      </c>
      <c r="J25" s="13" t="n">
        <f aca="false">IF(E25=0,"-",(F25-G25)/E25)</f>
        <v>-0.32</v>
      </c>
      <c r="K25" s="14" t="n">
        <f aca="false">IF(E25=0,"-",F25/E25*$E$5)</f>
        <v>0.989000774593339</v>
      </c>
      <c r="L25" s="14" t="n">
        <f aca="false">IF(E25=0,"-",G25/E25*$E$5)</f>
        <v>1.30548102246321</v>
      </c>
      <c r="M25" s="14" t="n">
        <f aca="false">IF(E25=0,"-",(F25+G25)/E25*$E$5)</f>
        <v>2.29448179705655</v>
      </c>
    </row>
    <row r="26" customFormat="false" ht="15" hidden="false" customHeight="false" outlineLevel="0" collapsed="false">
      <c r="A26" s="10" t="n">
        <v>20</v>
      </c>
      <c r="B26" s="11" t="s">
        <v>37</v>
      </c>
      <c r="C26" s="12" t="n">
        <v>38.5054</v>
      </c>
      <c r="D26" s="10" t="n">
        <v>3</v>
      </c>
      <c r="E26" s="10" t="n">
        <v>8</v>
      </c>
      <c r="F26" s="10" t="n">
        <v>7</v>
      </c>
      <c r="G26" s="10" t="n">
        <v>8</v>
      </c>
      <c r="H26" s="13" t="n">
        <f aca="false">IF(E26=0,"-",F26/E26)</f>
        <v>0.875</v>
      </c>
      <c r="I26" s="13" t="n">
        <f aca="false">IF(E26=0,"-",G26/E26)</f>
        <v>1</v>
      </c>
      <c r="J26" s="13" t="n">
        <f aca="false">IF(E26=0,"-",(F26-G26)/E26)</f>
        <v>-0.125</v>
      </c>
      <c r="K26" s="14" t="n">
        <f aca="false">IF(E26=0,"-",F26/E26*$E$5)</f>
        <v>0.865375677769171</v>
      </c>
      <c r="L26" s="14" t="n">
        <f aca="false">IF(E26=0,"-",G26/E26*$E$5)</f>
        <v>0.989000774593339</v>
      </c>
      <c r="M26" s="14" t="n">
        <f aca="false">IF(E26=0,"-",(F26+G26)/E26*$E$5)</f>
        <v>1.85437645236251</v>
      </c>
    </row>
    <row r="27" customFormat="false" ht="15" hidden="false" customHeight="false" outlineLevel="0" collapsed="false">
      <c r="A27" s="10" t="n">
        <v>21</v>
      </c>
      <c r="B27" s="11" t="s">
        <v>38</v>
      </c>
      <c r="C27" s="12" t="n">
        <v>37.7852</v>
      </c>
      <c r="D27" s="10" t="n">
        <v>17</v>
      </c>
      <c r="E27" s="10" t="n">
        <v>60</v>
      </c>
      <c r="F27" s="10" t="n">
        <v>62</v>
      </c>
      <c r="G27" s="10" t="n">
        <v>101</v>
      </c>
      <c r="H27" s="13" t="n">
        <f aca="false">IF(E27=0,"-",F27/E27)</f>
        <v>1.03333333333333</v>
      </c>
      <c r="I27" s="13" t="n">
        <f aca="false">IF(E27=0,"-",G27/E27)</f>
        <v>1.68333333333333</v>
      </c>
      <c r="J27" s="13" t="n">
        <f aca="false">IF(E27=0,"-",(F27-G27)/E27)</f>
        <v>-0.65</v>
      </c>
      <c r="K27" s="14" t="n">
        <f aca="false">IF(E27=0,"-",F27/E27*$E$5)</f>
        <v>1.02196746707978</v>
      </c>
      <c r="L27" s="14" t="n">
        <f aca="false">IF(E27=0,"-",G27/E27*$E$5)</f>
        <v>1.66481797056545</v>
      </c>
      <c r="M27" s="14" t="n">
        <f aca="false">IF(E27=0,"-",(F27+G27)/E27*$E$5)</f>
        <v>2.68678543764524</v>
      </c>
    </row>
    <row r="28" customFormat="false" ht="15" hidden="false" customHeight="false" outlineLevel="0" collapsed="false">
      <c r="A28" s="10" t="n">
        <v>22</v>
      </c>
      <c r="B28" s="11" t="s">
        <v>39</v>
      </c>
      <c r="C28" s="12" t="n">
        <v>35.8654</v>
      </c>
      <c r="D28" s="10" t="n">
        <v>7</v>
      </c>
      <c r="E28" s="10" t="n">
        <v>29</v>
      </c>
      <c r="F28" s="10" t="n">
        <v>43</v>
      </c>
      <c r="G28" s="10" t="n">
        <v>47</v>
      </c>
      <c r="H28" s="13" t="n">
        <f aca="false">IF(E28=0,"-",F28/E28)</f>
        <v>1.48275862068966</v>
      </c>
      <c r="I28" s="13" t="n">
        <f aca="false">IF(E28=0,"-",G28/E28)</f>
        <v>1.62068965517241</v>
      </c>
      <c r="J28" s="13" t="n">
        <f aca="false">IF(E28=0,"-",(F28-G28)/E28)</f>
        <v>-0.137931034482759</v>
      </c>
      <c r="K28" s="14" t="n">
        <f aca="false">IF(E28=0,"-",F28/E28*$E$5)</f>
        <v>1.46644942439702</v>
      </c>
      <c r="L28" s="14" t="n">
        <f aca="false">IF(E28=0,"-",G28/E28*$E$5)</f>
        <v>1.60286332434093</v>
      </c>
      <c r="M28" s="14" t="n">
        <f aca="false">IF(E28=0,"-",(F28+G28)/E28*$E$5)</f>
        <v>3.06931274873795</v>
      </c>
    </row>
    <row r="29" customFormat="false" ht="15" hidden="false" customHeight="false" outlineLevel="0" collapsed="false">
      <c r="A29" s="10" t="n">
        <v>23</v>
      </c>
      <c r="B29" s="11" t="s">
        <v>40</v>
      </c>
      <c r="C29" s="12" t="n">
        <v>35.163</v>
      </c>
      <c r="D29" s="10" t="n">
        <v>3</v>
      </c>
      <c r="E29" s="10" t="n">
        <v>9</v>
      </c>
      <c r="F29" s="10" t="n">
        <v>13</v>
      </c>
      <c r="G29" s="10" t="n">
        <v>14</v>
      </c>
      <c r="H29" s="13" t="n">
        <f aca="false">IF(E29=0,"-",F29/E29)</f>
        <v>1.44444444444444</v>
      </c>
      <c r="I29" s="13" t="n">
        <f aca="false">IF(E29=0,"-",G29/E29)</f>
        <v>1.55555555555556</v>
      </c>
      <c r="J29" s="13" t="n">
        <f aca="false">IF(E29=0,"-",(F29-G29)/E29)</f>
        <v>-0.111111111111111</v>
      </c>
      <c r="K29" s="14" t="n">
        <f aca="false">IF(E29=0,"-",F29/E29*$E$5)</f>
        <v>1.4285566744126</v>
      </c>
      <c r="L29" s="14" t="n">
        <f aca="false">IF(E29=0,"-",G29/E29*$E$5)</f>
        <v>1.53844564936742</v>
      </c>
      <c r="M29" s="14" t="n">
        <f aca="false">IF(E29=0,"-",(F29+G29)/E29*$E$5)</f>
        <v>2.96700232378002</v>
      </c>
    </row>
    <row r="30" customFormat="false" ht="15" hidden="false" customHeight="false" outlineLevel="0" collapsed="false">
      <c r="A30" s="10" t="n">
        <v>24</v>
      </c>
      <c r="B30" s="11" t="s">
        <v>41</v>
      </c>
      <c r="C30" s="12" t="n">
        <v>33.0996</v>
      </c>
      <c r="D30" s="10" t="n">
        <v>4</v>
      </c>
      <c r="E30" s="10" t="n">
        <v>13</v>
      </c>
      <c r="F30" s="10" t="n">
        <v>13</v>
      </c>
      <c r="G30" s="10" t="n">
        <v>19</v>
      </c>
      <c r="H30" s="13" t="n">
        <f aca="false">IF(E30=0,"-",F30/E30)</f>
        <v>1</v>
      </c>
      <c r="I30" s="13" t="n">
        <f aca="false">IF(E30=0,"-",G30/E30)</f>
        <v>1.46153846153846</v>
      </c>
      <c r="J30" s="13" t="n">
        <f aca="false">IF(E30=0,"-",(F30-G30)/E30)</f>
        <v>-0.461538461538462</v>
      </c>
      <c r="K30" s="14" t="n">
        <f aca="false">IF(E30=0,"-",F30/E30*$E$5)</f>
        <v>0.989000774593339</v>
      </c>
      <c r="L30" s="14" t="n">
        <f aca="false">IF(E30=0,"-",G30/E30*$E$5)</f>
        <v>1.44546267055949</v>
      </c>
      <c r="M30" s="14" t="n">
        <f aca="false">IF(E30=0,"-",(F30+G30)/E30*$E$5)</f>
        <v>2.43446344515283</v>
      </c>
    </row>
    <row r="31" customFormat="false" ht="15" hidden="false" customHeight="false" outlineLevel="0" collapsed="false">
      <c r="A31" s="10" t="n">
        <v>25</v>
      </c>
      <c r="B31" s="11" t="s">
        <v>42</v>
      </c>
      <c r="C31" s="12" t="n">
        <v>32.2673</v>
      </c>
      <c r="D31" s="10" t="n">
        <v>11</v>
      </c>
      <c r="E31" s="10" t="n">
        <v>38</v>
      </c>
      <c r="F31" s="10" t="n">
        <v>39</v>
      </c>
      <c r="G31" s="10" t="n">
        <v>78</v>
      </c>
      <c r="H31" s="13" t="n">
        <f aca="false">IF(E31=0,"-",F31/E31)</f>
        <v>1.02631578947368</v>
      </c>
      <c r="I31" s="13" t="n">
        <f aca="false">IF(E31=0,"-",G31/E31)</f>
        <v>2.05263157894737</v>
      </c>
      <c r="J31" s="13" t="n">
        <f aca="false">IF(E31=0,"-",(F31-G31)/E31)</f>
        <v>-1.02631578947368</v>
      </c>
      <c r="K31" s="14" t="n">
        <f aca="false">IF(E31=0,"-",F31/E31*$E$5)</f>
        <v>1.01502711076685</v>
      </c>
      <c r="L31" s="14" t="n">
        <f aca="false">IF(E31=0,"-",G31/E31*$E$5)</f>
        <v>2.0300542215337</v>
      </c>
      <c r="M31" s="14" t="n">
        <f aca="false">IF(E31=0,"-",(F31+G31)/E31*$E$5)</f>
        <v>3.04508133230054</v>
      </c>
    </row>
    <row r="32" customFormat="false" ht="15" hidden="false" customHeight="false" outlineLevel="0" collapsed="false">
      <c r="A32" s="10" t="n">
        <v>26</v>
      </c>
      <c r="B32" s="11" t="s">
        <v>43</v>
      </c>
      <c r="C32" s="12" t="n">
        <v>31.7486</v>
      </c>
      <c r="D32" s="10" t="n">
        <v>12</v>
      </c>
      <c r="E32" s="10" t="n">
        <v>51</v>
      </c>
      <c r="F32" s="10" t="n">
        <v>80</v>
      </c>
      <c r="G32" s="10" t="n">
        <v>73</v>
      </c>
      <c r="H32" s="13" t="n">
        <f aca="false">IF(E32=0,"-",F32/E32)</f>
        <v>1.56862745098039</v>
      </c>
      <c r="I32" s="13" t="n">
        <f aca="false">IF(E32=0,"-",G32/E32)</f>
        <v>1.43137254901961</v>
      </c>
      <c r="J32" s="13" t="n">
        <f aca="false">IF(E32=0,"-",(F32-G32)/E32)</f>
        <v>0.137254901960784</v>
      </c>
      <c r="K32" s="14" t="n">
        <f aca="false">IF(E32=0,"-",F32/E32*$E$5)</f>
        <v>1.55137376406798</v>
      </c>
      <c r="L32" s="14" t="n">
        <f aca="false">IF(E32=0,"-",G32/E32*$E$5)</f>
        <v>1.41562855971203</v>
      </c>
      <c r="M32" s="14" t="n">
        <f aca="false">IF(E32=0,"-",(F32+G32)/E32*$E$5)</f>
        <v>2.96700232378002</v>
      </c>
    </row>
    <row r="33" customFormat="false" ht="15" hidden="false" customHeight="false" outlineLevel="0" collapsed="false">
      <c r="A33" s="10" t="n">
        <v>27</v>
      </c>
      <c r="B33" s="11" t="s">
        <v>44</v>
      </c>
      <c r="C33" s="12" t="n">
        <v>31.6849</v>
      </c>
      <c r="D33" s="10" t="n">
        <v>6</v>
      </c>
      <c r="E33" s="10" t="n">
        <v>18</v>
      </c>
      <c r="F33" s="10" t="n">
        <v>13</v>
      </c>
      <c r="G33" s="10" t="n">
        <v>31</v>
      </c>
      <c r="H33" s="13" t="n">
        <f aca="false">IF(E33=0,"-",F33/E33)</f>
        <v>0.722222222222222</v>
      </c>
      <c r="I33" s="13" t="n">
        <f aca="false">IF(E33=0,"-",G33/E33)</f>
        <v>1.72222222222222</v>
      </c>
      <c r="J33" s="13" t="n">
        <f aca="false">IF(E33=0,"-",(F33-G33)/E33)</f>
        <v>-1</v>
      </c>
      <c r="K33" s="14" t="n">
        <f aca="false">IF(E33=0,"-",F33/E33*$E$5)</f>
        <v>0.7142783372063</v>
      </c>
      <c r="L33" s="14" t="n">
        <f aca="false">IF(E33=0,"-",G33/E33*$E$5)</f>
        <v>1.70327911179964</v>
      </c>
      <c r="M33" s="14" t="n">
        <f aca="false">IF(E33=0,"-",(F33+G33)/E33*$E$5)</f>
        <v>2.41755744900594</v>
      </c>
    </row>
    <row r="34" customFormat="false" ht="15" hidden="false" customHeight="false" outlineLevel="0" collapsed="false">
      <c r="A34" s="10" t="n">
        <v>28</v>
      </c>
      <c r="B34" s="11" t="s">
        <v>45</v>
      </c>
      <c r="C34" s="12" t="n">
        <v>29.7282</v>
      </c>
      <c r="D34" s="10" t="n">
        <v>2</v>
      </c>
      <c r="E34" s="10" t="n">
        <v>6</v>
      </c>
      <c r="F34" s="10" t="n">
        <v>2</v>
      </c>
      <c r="G34" s="10" t="n">
        <v>12</v>
      </c>
      <c r="H34" s="13" t="n">
        <f aca="false">IF(E34=0,"-",F34/E34)</f>
        <v>0.333333333333333</v>
      </c>
      <c r="I34" s="13" t="n">
        <f aca="false">IF(E34=0,"-",G34/E34)</f>
        <v>2</v>
      </c>
      <c r="J34" s="13" t="n">
        <f aca="false">IF(E34=0,"-",(F34-G34)/E34)</f>
        <v>-1.66666666666667</v>
      </c>
      <c r="K34" s="14" t="n">
        <f aca="false">IF(E34=0,"-",F34/E34*$E$5)</f>
        <v>0.329666924864446</v>
      </c>
      <c r="L34" s="14" t="n">
        <f aca="false">IF(E34=0,"-",G34/E34*$E$5)</f>
        <v>1.97800154918668</v>
      </c>
      <c r="M34" s="14" t="n">
        <f aca="false">IF(E34=0,"-",(F34+G34)/E34*$E$5)</f>
        <v>2.30766847405112</v>
      </c>
    </row>
    <row r="35" customFormat="false" ht="15" hidden="false" customHeight="false" outlineLevel="0" collapsed="false">
      <c r="A35" s="10" t="n">
        <v>29</v>
      </c>
      <c r="B35" s="11" t="s">
        <v>46</v>
      </c>
      <c r="C35" s="12" t="n">
        <v>29.6718</v>
      </c>
      <c r="D35" s="10" t="n">
        <v>3</v>
      </c>
      <c r="E35" s="10" t="n">
        <v>7</v>
      </c>
      <c r="F35" s="10" t="n">
        <v>5</v>
      </c>
      <c r="G35" s="10" t="n">
        <v>12</v>
      </c>
      <c r="H35" s="13" t="n">
        <f aca="false">IF(E35=0,"-",F35/E35)</f>
        <v>0.714285714285714</v>
      </c>
      <c r="I35" s="13" t="n">
        <f aca="false">IF(E35=0,"-",G35/E35)</f>
        <v>1.71428571428571</v>
      </c>
      <c r="J35" s="13" t="n">
        <f aca="false">IF(E35=0,"-",(F35-G35)/E35)</f>
        <v>-1</v>
      </c>
      <c r="K35" s="14" t="n">
        <f aca="false">IF(E35=0,"-",F35/E35*$E$5)</f>
        <v>0.706429124709528</v>
      </c>
      <c r="L35" s="14" t="n">
        <f aca="false">IF(E35=0,"-",G35/E35*$E$5)</f>
        <v>1.69542989930287</v>
      </c>
      <c r="M35" s="14" t="n">
        <f aca="false">IF(E35=0,"-",(F35+G35)/E35*$E$5)</f>
        <v>2.40185902401239</v>
      </c>
    </row>
    <row r="36" customFormat="false" ht="15" hidden="false" customHeight="false" outlineLevel="0" collapsed="false">
      <c r="A36" s="10" t="n">
        <v>30</v>
      </c>
      <c r="B36" s="11" t="s">
        <v>47</v>
      </c>
      <c r="C36" s="12" t="n">
        <v>29.2131</v>
      </c>
      <c r="D36" s="10" t="n">
        <v>6</v>
      </c>
      <c r="E36" s="10" t="n">
        <v>20</v>
      </c>
      <c r="F36" s="10" t="n">
        <v>17</v>
      </c>
      <c r="G36" s="10" t="n">
        <v>37</v>
      </c>
      <c r="H36" s="13" t="n">
        <f aca="false">IF(E36=0,"-",F36/E36)</f>
        <v>0.85</v>
      </c>
      <c r="I36" s="13" t="n">
        <f aca="false">IF(E36=0,"-",G36/E36)</f>
        <v>1.85</v>
      </c>
      <c r="J36" s="13" t="n">
        <f aca="false">IF(E36=0,"-",(F36-G36)/E36)</f>
        <v>-1</v>
      </c>
      <c r="K36" s="14" t="n">
        <f aca="false">IF(E36=0,"-",F36/E36*$E$5)</f>
        <v>0.840650658404338</v>
      </c>
      <c r="L36" s="14" t="n">
        <f aca="false">IF(E36=0,"-",G36/E36*$E$5)</f>
        <v>1.82965143299768</v>
      </c>
      <c r="M36" s="14" t="n">
        <f aca="false">IF(E36=0,"-",(F36+G36)/E36*$E$5)</f>
        <v>2.67030209140201</v>
      </c>
    </row>
    <row r="37" customFormat="false" ht="15" hidden="false" customHeight="false" outlineLevel="0" collapsed="false">
      <c r="A37" s="10" t="n">
        <v>31</v>
      </c>
      <c r="B37" s="11" t="s">
        <v>48</v>
      </c>
      <c r="C37" s="12" t="n">
        <v>25.9197</v>
      </c>
      <c r="D37" s="10" t="n">
        <v>1</v>
      </c>
      <c r="E37" s="10" t="n">
        <v>3</v>
      </c>
      <c r="F37" s="10" t="n">
        <v>2</v>
      </c>
      <c r="G37" s="10" t="n">
        <v>11</v>
      </c>
      <c r="H37" s="13" t="n">
        <f aca="false">IF(E37=0,"-",F37/E37)</f>
        <v>0.666666666666667</v>
      </c>
      <c r="I37" s="13" t="n">
        <f aca="false">IF(E37=0,"-",G37/E37)</f>
        <v>3.66666666666667</v>
      </c>
      <c r="J37" s="13" t="n">
        <f aca="false">IF(E37=0,"-",(F37-G37)/E37)</f>
        <v>-3</v>
      </c>
      <c r="K37" s="14" t="n">
        <f aca="false">IF(E37=0,"-",F37/E37*$E$5)</f>
        <v>0.659333849728892</v>
      </c>
      <c r="L37" s="14" t="n">
        <f aca="false">IF(E37=0,"-",G37/E37*$E$5)</f>
        <v>3.62633617350891</v>
      </c>
      <c r="M37" s="14" t="n">
        <f aca="false">IF(E37=0,"-",(F37+G37)/E37*$E$5)</f>
        <v>4.2856700232378</v>
      </c>
    </row>
    <row r="38" customFormat="false" ht="15" hidden="false" customHeight="false" outlineLevel="0" collapsed="false">
      <c r="A38" s="10" t="n">
        <v>32</v>
      </c>
      <c r="B38" s="11" t="s">
        <v>49</v>
      </c>
      <c r="C38" s="12" t="n">
        <v>25.8119</v>
      </c>
      <c r="D38" s="10" t="n">
        <v>9</v>
      </c>
      <c r="E38" s="10" t="n">
        <v>33</v>
      </c>
      <c r="F38" s="10" t="n">
        <v>47</v>
      </c>
      <c r="G38" s="10" t="n">
        <v>49</v>
      </c>
      <c r="H38" s="13" t="n">
        <f aca="false">IF(E38=0,"-",F38/E38)</f>
        <v>1.42424242424242</v>
      </c>
      <c r="I38" s="13" t="n">
        <f aca="false">IF(E38=0,"-",G38/E38)</f>
        <v>1.48484848484848</v>
      </c>
      <c r="J38" s="13" t="n">
        <f aca="false">IF(E38=0,"-",(F38-G38)/E38)</f>
        <v>-0.0606060606060606</v>
      </c>
      <c r="K38" s="14" t="n">
        <f aca="false">IF(E38=0,"-",F38/E38*$E$5)</f>
        <v>1.40857686078445</v>
      </c>
      <c r="L38" s="14" t="n">
        <f aca="false">IF(E38=0,"-",G38/E38*$E$5)</f>
        <v>1.4685163016689</v>
      </c>
      <c r="M38" s="14" t="n">
        <f aca="false">IF(E38=0,"-",(F38+G38)/E38*$E$5)</f>
        <v>2.87709316245335</v>
      </c>
    </row>
    <row r="39" customFormat="false" ht="15" hidden="false" customHeight="false" outlineLevel="0" collapsed="false">
      <c r="A39" s="10" t="n">
        <v>33</v>
      </c>
      <c r="B39" s="11" t="s">
        <v>50</v>
      </c>
      <c r="C39" s="12" t="n">
        <v>25.2974</v>
      </c>
      <c r="D39" s="10" t="n">
        <v>8</v>
      </c>
      <c r="E39" s="10" t="n">
        <v>23</v>
      </c>
      <c r="F39" s="10" t="n">
        <v>25</v>
      </c>
      <c r="G39" s="10" t="n">
        <v>41</v>
      </c>
      <c r="H39" s="13" t="n">
        <f aca="false">IF(E39=0,"-",F39/E39)</f>
        <v>1.08695652173913</v>
      </c>
      <c r="I39" s="13" t="n">
        <f aca="false">IF(E39=0,"-",G39/E39)</f>
        <v>1.78260869565217</v>
      </c>
      <c r="J39" s="13" t="n">
        <f aca="false">IF(E39=0,"-",(F39-G39)/E39)</f>
        <v>-0.695652173913044</v>
      </c>
      <c r="K39" s="14" t="n">
        <f aca="false">IF(E39=0,"-",F39/E39*$E$5)</f>
        <v>1.07500084194928</v>
      </c>
      <c r="L39" s="14" t="n">
        <f aca="false">IF(E39=0,"-",G39/E39*$E$5)</f>
        <v>1.76300138079682</v>
      </c>
      <c r="M39" s="14" t="n">
        <f aca="false">IF(E39=0,"-",(F39+G39)/E39*$E$5)</f>
        <v>2.8380022227461</v>
      </c>
    </row>
    <row r="40" customFormat="false" ht="15" hidden="false" customHeight="false" outlineLevel="0" collapsed="false">
      <c r="A40" s="10" t="n">
        <v>34</v>
      </c>
      <c r="B40" s="11" t="s">
        <v>51</v>
      </c>
      <c r="C40" s="12" t="n">
        <v>25.1452</v>
      </c>
      <c r="D40" s="10" t="n">
        <v>8</v>
      </c>
      <c r="E40" s="10" t="n">
        <v>27</v>
      </c>
      <c r="F40" s="10" t="n">
        <v>30</v>
      </c>
      <c r="G40" s="10" t="n">
        <v>38</v>
      </c>
      <c r="H40" s="13" t="n">
        <f aca="false">IF(E40=0,"-",F40/E40)</f>
        <v>1.11111111111111</v>
      </c>
      <c r="I40" s="13" t="n">
        <f aca="false">IF(E40=0,"-",G40/E40)</f>
        <v>1.40740740740741</v>
      </c>
      <c r="J40" s="13" t="n">
        <f aca="false">IF(E40=0,"-",(F40-G40)/E40)</f>
        <v>-0.296296296296296</v>
      </c>
      <c r="K40" s="14" t="n">
        <f aca="false">IF(E40=0,"-",F40/E40*$E$5)</f>
        <v>1.09888974954815</v>
      </c>
      <c r="L40" s="14" t="n">
        <f aca="false">IF(E40=0,"-",G40/E40*$E$5)</f>
        <v>1.39192701609433</v>
      </c>
      <c r="M40" s="14" t="n">
        <f aca="false">IF(E40=0,"-",(F40+G40)/E40*$E$5)</f>
        <v>2.49081676564248</v>
      </c>
    </row>
    <row r="41" customFormat="false" ht="15" hidden="false" customHeight="false" outlineLevel="0" collapsed="false">
      <c r="A41" s="10" t="n">
        <v>35</v>
      </c>
      <c r="B41" s="11" t="s">
        <v>52</v>
      </c>
      <c r="C41" s="12" t="n">
        <v>22.7783</v>
      </c>
      <c r="D41" s="10" t="n">
        <v>1</v>
      </c>
      <c r="E41" s="10" t="n">
        <v>3</v>
      </c>
      <c r="F41" s="10" t="n">
        <v>0</v>
      </c>
      <c r="G41" s="10" t="n">
        <v>14</v>
      </c>
      <c r="H41" s="13" t="n">
        <f aca="false">IF(E41=0,"-",F41/E41)</f>
        <v>0</v>
      </c>
      <c r="I41" s="13" t="n">
        <f aca="false">IF(E41=0,"-",G41/E41)</f>
        <v>4.66666666666667</v>
      </c>
      <c r="J41" s="13" t="n">
        <f aca="false">IF(E41=0,"-",(F41-G41)/E41)</f>
        <v>-4.66666666666667</v>
      </c>
      <c r="K41" s="14" t="n">
        <f aca="false">IF(E41=0,"-",F41/E41*$E$5)</f>
        <v>0</v>
      </c>
      <c r="L41" s="14" t="n">
        <f aca="false">IF(E41=0,"-",G41/E41*$E$5)</f>
        <v>4.61533694810225</v>
      </c>
      <c r="M41" s="14" t="n">
        <f aca="false">IF(E41=0,"-",(F41+G41)/E41*$E$5)</f>
        <v>4.61533694810225</v>
      </c>
      <c r="N41" s="15" t="s">
        <v>53</v>
      </c>
      <c r="O41" s="16"/>
      <c r="P41" s="16"/>
    </row>
    <row r="42" customFormat="false" ht="26.85" hidden="false" customHeight="false" outlineLevel="0" collapsed="false">
      <c r="A42" s="10" t="n">
        <v>36</v>
      </c>
      <c r="B42" s="11" t="s">
        <v>54</v>
      </c>
      <c r="C42" s="12" t="n">
        <v>21.2252</v>
      </c>
      <c r="D42" s="10" t="n">
        <v>6</v>
      </c>
      <c r="E42" s="10" t="n">
        <v>18</v>
      </c>
      <c r="F42" s="10" t="n">
        <v>14</v>
      </c>
      <c r="G42" s="10" t="n">
        <v>26</v>
      </c>
      <c r="H42" s="13" t="n">
        <f aca="false">IF(E42=0,"-",F42/E42)</f>
        <v>0.777777777777778</v>
      </c>
      <c r="I42" s="13" t="n">
        <f aca="false">IF(E42=0,"-",G42/E42)</f>
        <v>1.44444444444444</v>
      </c>
      <c r="J42" s="13" t="n">
        <f aca="false">IF(E42=0,"-",(F42-G42)/E42)</f>
        <v>-0.666666666666667</v>
      </c>
      <c r="K42" s="14" t="n">
        <f aca="false">IF(E42=0,"-",F42/E42*$E$5)</f>
        <v>0.769222824683708</v>
      </c>
      <c r="L42" s="14" t="n">
        <f aca="false">IF(E42=0,"-",G42/E42*$E$5)</f>
        <v>1.4285566744126</v>
      </c>
      <c r="M42" s="14" t="n">
        <f aca="false">IF(E42=0,"-",(F42+G42)/E42*$E$5)</f>
        <v>2.19777949909631</v>
      </c>
      <c r="N42" s="9" t="s">
        <v>15</v>
      </c>
      <c r="O42" s="9" t="s">
        <v>16</v>
      </c>
      <c r="P42" s="9" t="s">
        <v>17</v>
      </c>
    </row>
    <row r="43" customFormat="false" ht="15" hidden="false" customHeight="false" outlineLevel="0" collapsed="false">
      <c r="A43" s="17" t="n">
        <v>37</v>
      </c>
      <c r="B43" s="18" t="s">
        <v>55</v>
      </c>
      <c r="C43" s="19" t="n">
        <v>18.6793</v>
      </c>
      <c r="D43" s="17" t="n">
        <v>0</v>
      </c>
      <c r="E43" s="17" t="n">
        <v>0</v>
      </c>
      <c r="F43" s="17" t="n">
        <v>0</v>
      </c>
      <c r="G43" s="17" t="n">
        <v>0</v>
      </c>
      <c r="H43" s="20" t="str">
        <f aca="false">IF(E43=0,"-",F43/E43)</f>
        <v>-</v>
      </c>
      <c r="I43" s="20" t="str">
        <f aca="false">IF(E43=0,"-",G43/E43)</f>
        <v>-</v>
      </c>
      <c r="J43" s="20" t="str">
        <f aca="false">IF(E43=0,"-",(F43-G43)/E43)</f>
        <v>-</v>
      </c>
      <c r="K43" s="20" t="str">
        <f aca="false">IF(E43=0,"-",F43/E43*$E$5)</f>
        <v>-</v>
      </c>
      <c r="L43" s="20" t="str">
        <f aca="false">IF(E43=0,"-",G43/E43*$E$5)</f>
        <v>-</v>
      </c>
      <c r="M43" s="20" t="str">
        <f aca="false">IF(E43=0,"-",(F43+G43)/E43*$E$5)</f>
        <v>-</v>
      </c>
      <c r="N43" s="21" t="n">
        <v>0.55</v>
      </c>
      <c r="O43" s="21" t="n">
        <v>1.85</v>
      </c>
      <c r="P43" s="21" t="n">
        <f aca="false"> SUM(N43,O43)</f>
        <v>2.4</v>
      </c>
    </row>
    <row r="44" customFormat="false" ht="15" hidden="false" customHeight="false" outlineLevel="0" collapsed="false">
      <c r="A44" s="10" t="n">
        <v>38</v>
      </c>
      <c r="B44" s="11" t="s">
        <v>56</v>
      </c>
      <c r="C44" s="12" t="n">
        <v>15.2001</v>
      </c>
      <c r="D44" s="10" t="n">
        <v>1</v>
      </c>
      <c r="E44" s="10" t="n">
        <v>3</v>
      </c>
      <c r="F44" s="10" t="n">
        <v>1</v>
      </c>
      <c r="G44" s="10" t="n">
        <v>7</v>
      </c>
      <c r="H44" s="13" t="n">
        <f aca="false">IF(E44=0,"-",F44/E44)</f>
        <v>0.333333333333333</v>
      </c>
      <c r="I44" s="13" t="n">
        <f aca="false">IF(E44=0,"-",G44/E44)</f>
        <v>2.33333333333333</v>
      </c>
      <c r="J44" s="13" t="n">
        <f aca="false">IF(E44=0,"-",(F44-G44)/E44)</f>
        <v>-2</v>
      </c>
      <c r="K44" s="14" t="n">
        <f aca="false">IF(E44=0,"-",F44/E44*$E$5)</f>
        <v>0.329666924864446</v>
      </c>
      <c r="L44" s="14" t="n">
        <f aca="false">IF(E44=0,"-",G44/E44*$E$5)</f>
        <v>2.30766847405112</v>
      </c>
      <c r="M44" s="14" t="n">
        <f aca="false">IF(E44=0,"-",(F44+G44)/E44*$E$5)</f>
        <v>2.63733539891557</v>
      </c>
      <c r="N44" s="21"/>
      <c r="O44" s="21"/>
      <c r="P44" s="21"/>
    </row>
    <row r="45" customFormat="false" ht="15" hidden="false" customHeight="false" outlineLevel="0" collapsed="false">
      <c r="A45" s="10" t="n">
        <v>39</v>
      </c>
      <c r="B45" s="11" t="s">
        <v>57</v>
      </c>
      <c r="C45" s="12" t="n">
        <v>14.279</v>
      </c>
      <c r="D45" s="10" t="n">
        <v>1</v>
      </c>
      <c r="E45" s="10" t="n">
        <v>3</v>
      </c>
      <c r="F45" s="10" t="n">
        <v>1</v>
      </c>
      <c r="G45" s="10" t="n">
        <v>4</v>
      </c>
      <c r="H45" s="13" t="n">
        <f aca="false">IF(E45=0,"-",F45/E45)</f>
        <v>0.333333333333333</v>
      </c>
      <c r="I45" s="13" t="n">
        <f aca="false">IF(E45=0,"-",G45/E45)</f>
        <v>1.33333333333333</v>
      </c>
      <c r="J45" s="13" t="n">
        <f aca="false">IF(E45=0,"-",(F45-G45)/E45)</f>
        <v>-1</v>
      </c>
      <c r="K45" s="14" t="n">
        <f aca="false">IF(E45=0,"-",F45/E45*$E$5)</f>
        <v>0.329666924864446</v>
      </c>
      <c r="L45" s="14" t="n">
        <f aca="false">IF(E45=0,"-",G45/E45*$E$5)</f>
        <v>1.31866769945778</v>
      </c>
      <c r="M45" s="14" t="n">
        <f aca="false">IF(E45=0,"-",(F45+G45)/E45*$E$5)</f>
        <v>1.64833462432223</v>
      </c>
      <c r="N45" s="21"/>
      <c r="O45" s="21"/>
      <c r="P45" s="21"/>
    </row>
    <row r="46" customFormat="false" ht="15" hidden="false" customHeight="false" outlineLevel="0" collapsed="false">
      <c r="A46" s="10" t="n">
        <v>40</v>
      </c>
      <c r="B46" s="11" t="s">
        <v>58</v>
      </c>
      <c r="C46" s="12" t="n">
        <v>13.4071</v>
      </c>
      <c r="D46" s="10" t="n">
        <v>3</v>
      </c>
      <c r="E46" s="10" t="n">
        <v>9</v>
      </c>
      <c r="F46" s="10" t="n">
        <v>11</v>
      </c>
      <c r="G46" s="10" t="n">
        <v>16</v>
      </c>
      <c r="H46" s="13" t="n">
        <f aca="false">IF(E46=0,"-",F46/E46)</f>
        <v>1.22222222222222</v>
      </c>
      <c r="I46" s="13" t="n">
        <f aca="false">IF(E46=0,"-",G46/E46)</f>
        <v>1.77777777777778</v>
      </c>
      <c r="J46" s="13" t="n">
        <f aca="false">IF(E46=0,"-",(F46-G46)/E46)</f>
        <v>-0.555555555555556</v>
      </c>
      <c r="K46" s="14" t="n">
        <f aca="false">IF(E46=0,"-",F46/E46*$E$5)</f>
        <v>1.20877872450297</v>
      </c>
      <c r="L46" s="14" t="n">
        <f aca="false">IF(E46=0,"-",G46/E46*$E$5)</f>
        <v>1.75822359927705</v>
      </c>
      <c r="M46" s="14" t="n">
        <f aca="false">IF(E46=0,"-",(F46+G46)/E46*$E$5)</f>
        <v>2.96700232378002</v>
      </c>
      <c r="N46" s="21"/>
      <c r="O46" s="21"/>
      <c r="P46" s="21"/>
    </row>
    <row r="47" customFormat="false" ht="15" hidden="false" customHeight="false" outlineLevel="0" collapsed="false">
      <c r="A47" s="10" t="n">
        <v>41</v>
      </c>
      <c r="B47" s="11" t="s">
        <v>59</v>
      </c>
      <c r="C47" s="12" t="n">
        <v>13.1719</v>
      </c>
      <c r="D47" s="10" t="n">
        <v>1</v>
      </c>
      <c r="E47" s="10" t="n">
        <v>3</v>
      </c>
      <c r="F47" s="10" t="n">
        <v>4</v>
      </c>
      <c r="G47" s="10" t="n">
        <v>4</v>
      </c>
      <c r="H47" s="13" t="n">
        <f aca="false">IF(E47=0,"-",F47/E47)</f>
        <v>1.33333333333333</v>
      </c>
      <c r="I47" s="13" t="n">
        <f aca="false">IF(E47=0,"-",G47/E47)</f>
        <v>1.33333333333333</v>
      </c>
      <c r="J47" s="13" t="n">
        <f aca="false">IF(E47=0,"-",(F47-G47)/E47)</f>
        <v>0</v>
      </c>
      <c r="K47" s="14" t="n">
        <f aca="false">IF(E47=0,"-",F47/E47*$E$5)</f>
        <v>1.31866769945778</v>
      </c>
      <c r="L47" s="14" t="n">
        <f aca="false">IF(E47=0,"-",G47/E47*$E$5)</f>
        <v>1.31866769945778</v>
      </c>
      <c r="M47" s="14" t="n">
        <f aca="false">IF(E47=0,"-",(F47+G47)/E47*$E$5)</f>
        <v>2.63733539891557</v>
      </c>
      <c r="N47" s="21"/>
      <c r="O47" s="21"/>
      <c r="P47" s="21"/>
    </row>
    <row r="48" customFormat="false" ht="15" hidden="false" customHeight="false" outlineLevel="0" collapsed="false">
      <c r="A48" s="10" t="n">
        <v>42</v>
      </c>
      <c r="B48" s="11" t="s">
        <v>60</v>
      </c>
      <c r="C48" s="12" t="n">
        <v>12.6019</v>
      </c>
      <c r="D48" s="10" t="n">
        <v>6</v>
      </c>
      <c r="E48" s="10" t="n">
        <v>19</v>
      </c>
      <c r="F48" s="10" t="n">
        <v>14</v>
      </c>
      <c r="G48" s="10" t="n">
        <v>44</v>
      </c>
      <c r="H48" s="13" t="n">
        <f aca="false">IF(E48=0,"-",F48/E48)</f>
        <v>0.736842105263158</v>
      </c>
      <c r="I48" s="13" t="n">
        <f aca="false">IF(E48=0,"-",G48/E48)</f>
        <v>2.31578947368421</v>
      </c>
      <c r="J48" s="13" t="n">
        <f aca="false">IF(E48=0,"-",(F48-G48)/E48)</f>
        <v>-1.57894736842105</v>
      </c>
      <c r="K48" s="14" t="n">
        <f aca="false">IF(E48=0,"-",F48/E48*$E$5)</f>
        <v>0.728737412858249</v>
      </c>
      <c r="L48" s="14" t="n">
        <f aca="false">IF(E48=0,"-",G48/E48*$E$5)</f>
        <v>2.29031758326878</v>
      </c>
      <c r="M48" s="14" t="n">
        <f aca="false">IF(E48=0,"-",(F48+G48)/E48*$E$5)</f>
        <v>3.01905499612703</v>
      </c>
      <c r="N48" s="21"/>
      <c r="O48" s="21"/>
      <c r="P48" s="21"/>
    </row>
    <row r="49" customFormat="false" ht="15" hidden="false" customHeight="false" outlineLevel="0" collapsed="false">
      <c r="A49" s="17" t="n">
        <v>43</v>
      </c>
      <c r="B49" s="18" t="s">
        <v>61</v>
      </c>
      <c r="C49" s="19" t="n">
        <v>11.3714</v>
      </c>
      <c r="D49" s="17" t="n">
        <v>0</v>
      </c>
      <c r="E49" s="17" t="n">
        <v>0</v>
      </c>
      <c r="F49" s="17" t="n">
        <v>0</v>
      </c>
      <c r="G49" s="17" t="n">
        <v>0</v>
      </c>
      <c r="H49" s="20" t="str">
        <f aca="false">IF(E49=0,"-",F49/E49)</f>
        <v>-</v>
      </c>
      <c r="I49" s="20" t="str">
        <f aca="false">IF(E49=0,"-",G49/E49)</f>
        <v>-</v>
      </c>
      <c r="J49" s="20" t="str">
        <f aca="false">IF(E49=0,"-",(F49-G49)/E49)</f>
        <v>-</v>
      </c>
      <c r="K49" s="20" t="str">
        <f aca="false">IF(E49=0,"-",F49/E49*$E$5)</f>
        <v>-</v>
      </c>
      <c r="L49" s="20" t="str">
        <f aca="false">IF(E49=0,"-",G49/E49*$E$5)</f>
        <v>-</v>
      </c>
      <c r="M49" s="20" t="str">
        <f aca="false">IF(E49=0,"-",(F49+G49)/E49*$E$5)</f>
        <v>-</v>
      </c>
      <c r="N49" s="21" t="n">
        <v>1.1</v>
      </c>
      <c r="O49" s="21" t="n">
        <v>1.4</v>
      </c>
      <c r="P49" s="21" t="n">
        <f aca="false">SUM(O49,N49)</f>
        <v>2.5</v>
      </c>
    </row>
    <row r="50" customFormat="false" ht="15" hidden="false" customHeight="false" outlineLevel="0" collapsed="false">
      <c r="A50" s="10" t="n">
        <v>44</v>
      </c>
      <c r="B50" s="11" t="s">
        <v>62</v>
      </c>
      <c r="C50" s="12" t="n">
        <v>10.711</v>
      </c>
      <c r="D50" s="10" t="n">
        <v>4</v>
      </c>
      <c r="E50" s="10" t="n">
        <v>15</v>
      </c>
      <c r="F50" s="10" t="n">
        <v>18</v>
      </c>
      <c r="G50" s="10" t="n">
        <v>23</v>
      </c>
      <c r="H50" s="13" t="n">
        <f aca="false">IF(E50=0,"-",F50/E50)</f>
        <v>1.2</v>
      </c>
      <c r="I50" s="13" t="n">
        <f aca="false">IF(E50=0,"-",G50/E50)</f>
        <v>1.53333333333333</v>
      </c>
      <c r="J50" s="13" t="n">
        <f aca="false">IF(E50=0,"-",(F50-G50)/E50)</f>
        <v>-0.333333333333333</v>
      </c>
      <c r="K50" s="14" t="n">
        <f aca="false">IF(E50=0,"-",F50/E50*$E$5)</f>
        <v>1.18680092951201</v>
      </c>
      <c r="L50" s="14" t="n">
        <f aca="false">IF(E50=0,"-",G50/E50*$E$5)</f>
        <v>1.51646785437645</v>
      </c>
      <c r="M50" s="14" t="n">
        <f aca="false">IF(E50=0,"-",(F50+G50)/E50*$E$5)</f>
        <v>2.70326878388846</v>
      </c>
      <c r="N50" s="21"/>
      <c r="O50" s="21"/>
      <c r="P50" s="21"/>
    </row>
    <row r="51" customFormat="false" ht="15" hidden="false" customHeight="false" outlineLevel="0" collapsed="false">
      <c r="A51" s="17" t="n">
        <v>45</v>
      </c>
      <c r="B51" s="18" t="s">
        <v>63</v>
      </c>
      <c r="C51" s="19" t="n">
        <v>9.2556</v>
      </c>
      <c r="D51" s="17" t="n">
        <v>0</v>
      </c>
      <c r="E51" s="17" t="n">
        <v>0</v>
      </c>
      <c r="F51" s="17" t="n">
        <v>0</v>
      </c>
      <c r="G51" s="17" t="n">
        <v>0</v>
      </c>
      <c r="H51" s="20" t="str">
        <f aca="false">IF(E51=0,"-",F51/E51)</f>
        <v>-</v>
      </c>
      <c r="I51" s="20" t="str">
        <f aca="false">IF(E51=0,"-",G51/E51)</f>
        <v>-</v>
      </c>
      <c r="J51" s="20" t="str">
        <f aca="false">IF(E51=0,"-",(F51-G51)/E51)</f>
        <v>-</v>
      </c>
      <c r="K51" s="20" t="str">
        <f aca="false">IF(E51=0,"-",F51/E51*$E$5)</f>
        <v>-</v>
      </c>
      <c r="L51" s="20" t="str">
        <f aca="false">IF(E51=0,"-",G51/E51*$E$5)</f>
        <v>-</v>
      </c>
      <c r="M51" s="20" t="str">
        <f aca="false">IF(E51=0,"-",(F51+G51)/E51*$E$5)</f>
        <v>-</v>
      </c>
      <c r="N51" s="21" t="n">
        <v>0.85</v>
      </c>
      <c r="O51" s="21" t="n">
        <v>2.63</v>
      </c>
      <c r="P51" s="21" t="n">
        <f aca="false">SUM(O51,N51)</f>
        <v>3.48</v>
      </c>
    </row>
    <row r="52" customFormat="false" ht="15" hidden="false" customHeight="false" outlineLevel="0" collapsed="false">
      <c r="A52" s="10" t="n">
        <v>46</v>
      </c>
      <c r="B52" s="11" t="s">
        <v>64</v>
      </c>
      <c r="C52" s="12" t="n">
        <v>2.9161</v>
      </c>
      <c r="D52" s="10" t="n">
        <v>1</v>
      </c>
      <c r="E52" s="10" t="n">
        <v>3</v>
      </c>
      <c r="F52" s="10" t="n">
        <v>2</v>
      </c>
      <c r="G52" s="10" t="n">
        <v>14</v>
      </c>
      <c r="H52" s="13" t="n">
        <f aca="false">IF(E52=0,"-",F52/E52)</f>
        <v>0.666666666666667</v>
      </c>
      <c r="I52" s="13" t="n">
        <f aca="false">IF(E52=0,"-",G52/E52)</f>
        <v>4.66666666666667</v>
      </c>
      <c r="J52" s="13" t="n">
        <f aca="false">IF(E52=0,"-",(F52-G52)/E52)</f>
        <v>-4</v>
      </c>
      <c r="K52" s="14" t="n">
        <f aca="false">IF(E52=0,"-",F52/E52*$E$5)</f>
        <v>0.659333849728892</v>
      </c>
      <c r="L52" s="14" t="n">
        <f aca="false">IF(E52=0,"-",G52/E52*$E$5)</f>
        <v>4.61533694810225</v>
      </c>
      <c r="M52" s="14" t="n">
        <f aca="false">IF(E52=0,"-",(F52+G52)/E52*$E$5)</f>
        <v>5.27467079783114</v>
      </c>
      <c r="N52" s="21"/>
      <c r="O52" s="21"/>
      <c r="P52" s="21"/>
    </row>
    <row r="53" customFormat="false" ht="15" hidden="false" customHeight="false" outlineLevel="0" collapsed="false">
      <c r="A53" s="17" t="n">
        <v>47</v>
      </c>
      <c r="B53" s="18" t="s">
        <v>65</v>
      </c>
      <c r="C53" s="19" t="n">
        <v>2.7204</v>
      </c>
      <c r="D53" s="17" t="n">
        <v>0</v>
      </c>
      <c r="E53" s="17" t="n">
        <v>0</v>
      </c>
      <c r="F53" s="17" t="n">
        <v>0</v>
      </c>
      <c r="G53" s="17" t="n">
        <v>0</v>
      </c>
      <c r="H53" s="20" t="str">
        <f aca="false">IF(E53=0,"-",F53/E53)</f>
        <v>-</v>
      </c>
      <c r="I53" s="20" t="str">
        <f aca="false">IF(E53=0,"-",G53/E53)</f>
        <v>-</v>
      </c>
      <c r="J53" s="20" t="str">
        <f aca="false">IF(E53=0,"-",(F53-G53)/E53)</f>
        <v>-</v>
      </c>
      <c r="K53" s="20" t="str">
        <f aca="false">IF(E53=0,"-",F53/E53*$E$5)</f>
        <v>-</v>
      </c>
      <c r="L53" s="20" t="str">
        <f aca="false">IF(E53=0,"-",G53/E53*$E$5)</f>
        <v>-</v>
      </c>
      <c r="M53" s="20" t="str">
        <f aca="false">IF(E53=0,"-",(F53+G53)/E53*$E$5)</f>
        <v>-</v>
      </c>
      <c r="N53" s="21" t="n">
        <v>0.6</v>
      </c>
      <c r="O53" s="21" t="n">
        <v>2.3</v>
      </c>
      <c r="P53" s="21" t="n">
        <f aca="false">SUM(O53,N53)</f>
        <v>2.9</v>
      </c>
    </row>
    <row r="54" customFormat="false" ht="15" hidden="false" customHeight="false" outlineLevel="0" collapsed="false">
      <c r="A54" s="10" t="n">
        <v>48</v>
      </c>
      <c r="B54" s="11" t="s">
        <v>66</v>
      </c>
      <c r="C54" s="12" t="n">
        <v>1.1536</v>
      </c>
      <c r="D54" s="10" t="n">
        <v>2</v>
      </c>
      <c r="E54" s="10" t="n">
        <v>6</v>
      </c>
      <c r="F54" s="10" t="n">
        <v>4</v>
      </c>
      <c r="G54" s="10" t="n">
        <v>14</v>
      </c>
      <c r="H54" s="13" t="n">
        <f aca="false">IF(E54=0,"-",F54/E54)</f>
        <v>0.666666666666667</v>
      </c>
      <c r="I54" s="13" t="n">
        <f aca="false">IF(E54=0,"-",G54/E54)</f>
        <v>2.33333333333333</v>
      </c>
      <c r="J54" s="13" t="n">
        <f aca="false">IF(E54=0,"-",(F54-G54)/E54)</f>
        <v>-1.66666666666667</v>
      </c>
      <c r="K54" s="14" t="n">
        <f aca="false">IF(E54=0,"-",F54/E54*$E$5)</f>
        <v>0.659333849728892</v>
      </c>
      <c r="L54" s="14" t="n">
        <f aca="false">IF(E54=0,"-",G54/E54*$E$5)</f>
        <v>2.30766847405112</v>
      </c>
      <c r="M54" s="14" t="n">
        <f aca="false">IF(E54=0,"-",(F54+G54)/E54*$E$5)</f>
        <v>2.96700232378002</v>
      </c>
      <c r="N54" s="21"/>
      <c r="O54" s="21"/>
      <c r="P54" s="21"/>
    </row>
    <row r="55" customFormat="false" ht="15" hidden="false" customHeight="false" outlineLevel="0" collapsed="false">
      <c r="A55" s="22"/>
      <c r="B55" s="23" t="s">
        <v>67</v>
      </c>
      <c r="C55" s="22"/>
      <c r="D55" s="22"/>
      <c r="E55" s="22"/>
      <c r="F55" s="22"/>
      <c r="G55" s="22"/>
      <c r="H55" s="24" t="n">
        <f aca="false">SUM(F7:F54)/SUM(E7:E54)</f>
        <v>1.47368421052632</v>
      </c>
      <c r="I55" s="24" t="n">
        <f aca="false">SUM(G7:G54)/SUM(E7:E54)</f>
        <v>1.35745614035088</v>
      </c>
      <c r="J55" s="24" t="n">
        <f aca="false">H55-I55</f>
        <v>0.116228070175439</v>
      </c>
      <c r="K55" s="24" t="n">
        <f aca="false">H55*$E$5</f>
        <v>1.4574748257165</v>
      </c>
      <c r="L55" s="24" t="n">
        <f aca="false">I55*$E$5</f>
        <v>1.3425251742835</v>
      </c>
      <c r="M55" s="24" t="n">
        <f aca="false">K55+L55</f>
        <v>2.8</v>
      </c>
      <c r="N55" s="21"/>
      <c r="O55" s="21"/>
      <c r="P55" s="21"/>
    </row>
    <row r="56" customFormat="false" ht="15" hidden="false" customHeight="false" outlineLevel="0" collapsed="false">
      <c r="O56" s="25" t="s">
        <v>68</v>
      </c>
      <c r="P56" s="25" t="n">
        <f aca="false">SUM(P53,P51,P49,P43)/4</f>
        <v>2.82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15" hidden="false" customHeight="false" outlineLevel="0" collapsed="false">
      <c r="A1" s="3" t="s">
        <v>69</v>
      </c>
      <c r="B1" s="5"/>
    </row>
    <row r="2" customFormat="false" ht="15" hidden="false" customHeight="false" outlineLevel="0" collapsed="false">
      <c r="A2" s="3"/>
      <c r="B2" s="5"/>
    </row>
    <row r="3" customFormat="false" ht="15" hidden="false" customHeight="false" outlineLevel="0" collapsed="false">
      <c r="A3" s="5" t="s">
        <v>70</v>
      </c>
      <c r="B3" s="5" t="s">
        <v>71</v>
      </c>
    </row>
    <row r="4" customFormat="false" ht="15" hidden="false" customHeight="false" outlineLevel="0" collapsed="false">
      <c r="A4" s="3"/>
      <c r="B4" s="5"/>
    </row>
    <row r="5" customFormat="false" ht="15" hidden="false" customHeight="false" outlineLevel="0" collapsed="false">
      <c r="A5" s="3" t="s">
        <v>72</v>
      </c>
      <c r="B5" s="5"/>
    </row>
    <row r="6" customFormat="false" ht="15" hidden="false" customHeight="false" outlineLevel="0" collapsed="false">
      <c r="A6" s="3"/>
      <c r="B6" s="5"/>
    </row>
    <row r="7" customFormat="false" ht="15" hidden="false" customHeight="false" outlineLevel="0" collapsed="false">
      <c r="A7" s="5" t="s">
        <v>73</v>
      </c>
      <c r="B7" s="5" t="s">
        <v>74</v>
      </c>
    </row>
    <row r="8" customFormat="false" ht="15" hidden="false" customHeight="false" outlineLevel="0" collapsed="false">
      <c r="A8" s="5" t="s">
        <v>75</v>
      </c>
      <c r="B8" s="5" t="s">
        <v>76</v>
      </c>
    </row>
    <row r="9" customFormat="false" ht="15" hidden="false" customHeight="false" outlineLevel="0" collapsed="false">
      <c r="A9" s="5" t="s">
        <v>77</v>
      </c>
      <c r="B9" s="5" t="s">
        <v>78</v>
      </c>
    </row>
    <row r="10" customFormat="false" ht="15" hidden="false" customHeight="false" outlineLevel="0" collapsed="false">
      <c r="A10" s="5" t="s">
        <v>79</v>
      </c>
      <c r="B10" s="5" t="s">
        <v>80</v>
      </c>
    </row>
    <row r="11" customFormat="false" ht="15" hidden="false" customHeight="false" outlineLevel="0" collapsed="false">
      <c r="A11" s="3"/>
      <c r="B11" s="5"/>
    </row>
    <row r="12" customFormat="false" ht="15" hidden="false" customHeight="false" outlineLevel="0" collapsed="false">
      <c r="A12" s="5" t="s">
        <v>81</v>
      </c>
      <c r="B12" s="5" t="s">
        <v>82</v>
      </c>
    </row>
    <row r="13" customFormat="false" ht="15" hidden="false" customHeight="false" outlineLevel="0" collapsed="false">
      <c r="A13" s="3"/>
      <c r="B13" s="5"/>
    </row>
    <row r="14" customFormat="false" ht="15" hidden="false" customHeight="false" outlineLevel="0" collapsed="false">
      <c r="A14" s="5" t="s">
        <v>83</v>
      </c>
      <c r="B14" s="5" t="s">
        <v>84</v>
      </c>
    </row>
    <row r="15" customFormat="false" ht="15" hidden="false" customHeight="false" outlineLevel="0" collapsed="false">
      <c r="A15" s="3"/>
      <c r="B15" s="5"/>
    </row>
    <row r="16" customFormat="false" ht="15" hidden="false" customHeight="false" outlineLevel="0" collapsed="false">
      <c r="A16" s="3" t="s">
        <v>85</v>
      </c>
      <c r="B16" s="5"/>
    </row>
    <row r="17" customFormat="false" ht="15" hidden="false" customHeight="false" outlineLevel="0" collapsed="false">
      <c r="A17" s="3"/>
      <c r="B17" s="5"/>
    </row>
    <row r="18" customFormat="false" ht="15" hidden="false" customHeight="false" outlineLevel="0" collapsed="false">
      <c r="A18" s="5" t="s">
        <v>86</v>
      </c>
      <c r="B18" s="5" t="s">
        <v>87</v>
      </c>
    </row>
    <row r="19" customFormat="false" ht="15" hidden="false" customHeight="false" outlineLevel="0" collapsed="false">
      <c r="A19" s="5" t="s">
        <v>88</v>
      </c>
      <c r="B19" s="5" t="s">
        <v>89</v>
      </c>
    </row>
    <row r="20" customFormat="false" ht="15" hidden="false" customHeight="false" outlineLevel="0" collapsed="false">
      <c r="A20" s="5" t="s">
        <v>90</v>
      </c>
      <c r="B20" s="5" t="s">
        <v>91</v>
      </c>
    </row>
    <row r="21" customFormat="false" ht="15" hidden="false" customHeight="false" outlineLevel="0" collapsed="false">
      <c r="A21" s="5" t="s">
        <v>92</v>
      </c>
      <c r="B21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2026-05-12T17:18:25Z</dcterms:created>
  <dc:creator>openpyxl</dc:creator>
  <dc:description/>
  <dc:language>en-US</dc:language>
  <cp:lastModifiedBy/>
  <dcterms:modified xsi:type="dcterms:W3CDTF">2026-05-12T19:00:54Z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